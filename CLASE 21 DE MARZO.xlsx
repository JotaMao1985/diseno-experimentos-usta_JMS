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mauriciosierra/Documents/Trabajo 2026/Usta 2026I/Diseno de experimentos/"/>
    </mc:Choice>
  </mc:AlternateContent>
  <xr:revisionPtr revIDLastSave="0" documentId="8_{C4A4D71A-B625-BB40-8F20-30F4B79473C7}" xr6:coauthVersionLast="47" xr6:coauthVersionMax="47" xr10:uidLastSave="{00000000-0000-0000-0000-000000000000}"/>
  <bookViews>
    <workbookView xWindow="0" yWindow="600" windowWidth="25600" windowHeight="13800" xr2:uid="{53E32178-A8CC-5146-8261-4A5E3BE0698C}"/>
  </bookViews>
  <sheets>
    <sheet name="Sheet1" sheetId="1" r:id="rId1"/>
  </sheets>
  <definedNames>
    <definedName name="_xlchart.v1.0" hidden="1">Sheet1!$B$28:$E$28</definedName>
    <definedName name="_xlchart.v1.1" hidden="1">Sheet1!$B$29:$E$29</definedName>
    <definedName name="_xlchart.v1.10" hidden="1">Sheet1!$B$30:$E$30</definedName>
    <definedName name="_xlchart.v1.11" hidden="1">Sheet1!$B$31:$E$31</definedName>
    <definedName name="_xlchart.v1.12" hidden="1">Sheet1!$B$28:$E$28</definedName>
    <definedName name="_xlchart.v1.13" hidden="1">Sheet1!$B$29:$E$29</definedName>
    <definedName name="_xlchart.v1.14" hidden="1">Sheet1!$B$30:$E$30</definedName>
    <definedName name="_xlchart.v1.15" hidden="1">Sheet1!$B$31:$E$31</definedName>
    <definedName name="_xlchart.v1.16" hidden="1">Sheet1!$B$28:$E$28</definedName>
    <definedName name="_xlchart.v1.17" hidden="1">Sheet1!$B$29:$E$29</definedName>
    <definedName name="_xlchart.v1.18" hidden="1">Sheet1!$B$30:$E$30</definedName>
    <definedName name="_xlchart.v1.19" hidden="1">Sheet1!$B$31:$E$31</definedName>
    <definedName name="_xlchart.v1.2" hidden="1">Sheet1!$B$30:$E$30</definedName>
    <definedName name="_xlchart.v1.20" hidden="1">Sheet1!$B$28:$E$28</definedName>
    <definedName name="_xlchart.v1.21" hidden="1">Sheet1!$B$29:$E$29</definedName>
    <definedName name="_xlchart.v1.22" hidden="1">Sheet1!$B$30:$E$30</definedName>
    <definedName name="_xlchart.v1.23" hidden="1">Sheet1!$B$31:$E$31</definedName>
    <definedName name="_xlchart.v1.24" hidden="1">Sheet1!$B$28:$E$28</definedName>
    <definedName name="_xlchart.v1.25" hidden="1">Sheet1!$B$29:$E$29</definedName>
    <definedName name="_xlchart.v1.26" hidden="1">Sheet1!$B$30:$E$30</definedName>
    <definedName name="_xlchart.v1.27" hidden="1">Sheet1!$B$31:$E$31</definedName>
    <definedName name="_xlchart.v1.28" hidden="1">Sheet1!$B$28:$E$28</definedName>
    <definedName name="_xlchart.v1.29" hidden="1">Sheet1!$B$29:$E$29</definedName>
    <definedName name="_xlchart.v1.3" hidden="1">Sheet1!$B$31:$E$31</definedName>
    <definedName name="_xlchart.v1.30" hidden="1">Sheet1!$B$30:$E$30</definedName>
    <definedName name="_xlchart.v1.31" hidden="1">Sheet1!$B$31:$E$31</definedName>
    <definedName name="_xlchart.v1.4" hidden="1">Sheet1!$B$28:$E$28</definedName>
    <definedName name="_xlchart.v1.5" hidden="1">Sheet1!$B$29:$E$29</definedName>
    <definedName name="_xlchart.v1.6" hidden="1">Sheet1!$B$30:$E$30</definedName>
    <definedName name="_xlchart.v1.7" hidden="1">Sheet1!$B$31:$E$31</definedName>
    <definedName name="_xlchart.v1.8" hidden="1">Sheet1!$B$28:$E$28</definedName>
    <definedName name="_xlchart.v1.9" hidden="1">Sheet1!$B$29:$E$29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J21" i="1" s="1"/>
  <c r="I25" i="1"/>
  <c r="I24" i="1"/>
  <c r="I23" i="1"/>
  <c r="I21" i="1"/>
  <c r="I22" i="1"/>
  <c r="I20" i="1"/>
  <c r="N14" i="1"/>
  <c r="M14" i="1"/>
  <c r="M13" i="1"/>
  <c r="N13" i="1"/>
  <c r="L14" i="1"/>
  <c r="L13" i="1"/>
  <c r="I13" i="1"/>
  <c r="K13" i="1" s="1"/>
  <c r="I16" i="1"/>
  <c r="F14" i="1"/>
  <c r="C14" i="1"/>
  <c r="D10" i="1"/>
  <c r="E10" i="1"/>
  <c r="E14" i="1" s="1"/>
  <c r="F10" i="1"/>
  <c r="C10" i="1"/>
  <c r="H5" i="1"/>
  <c r="H6" i="1"/>
  <c r="H7" i="1"/>
  <c r="H4" i="1"/>
  <c r="G8" i="1"/>
  <c r="I1" i="1"/>
  <c r="I7" i="1" s="1"/>
  <c r="D8" i="1"/>
  <c r="E8" i="1"/>
  <c r="F8" i="1"/>
  <c r="C8" i="1"/>
  <c r="I14" i="1" s="1"/>
  <c r="K14" i="1" s="1"/>
  <c r="G5" i="1"/>
  <c r="G6" i="1"/>
  <c r="G7" i="1"/>
  <c r="G4" i="1"/>
  <c r="J22" i="1" l="1"/>
  <c r="J20" i="1"/>
  <c r="J25" i="1"/>
  <c r="J24" i="1"/>
  <c r="J23" i="1"/>
  <c r="I15" i="1"/>
  <c r="K15" i="1" s="1"/>
  <c r="D13" i="1"/>
  <c r="D16" i="1"/>
  <c r="E15" i="1"/>
  <c r="D14" i="1"/>
  <c r="F9" i="1"/>
  <c r="D15" i="1"/>
  <c r="C13" i="1"/>
  <c r="F13" i="1"/>
  <c r="F16" i="1"/>
  <c r="I6" i="1"/>
  <c r="I5" i="1"/>
  <c r="F15" i="1"/>
  <c r="C16" i="1"/>
  <c r="I4" i="1"/>
  <c r="E13" i="1"/>
  <c r="E16" i="1"/>
  <c r="C15" i="1"/>
  <c r="E9" i="1"/>
  <c r="D9" i="1"/>
  <c r="C9" i="1"/>
</calcChain>
</file>

<file path=xl/sharedStrings.xml><?xml version="1.0" encoding="utf-8"?>
<sst xmlns="http://schemas.openxmlformats.org/spreadsheetml/2006/main" count="29" uniqueCount="27">
  <si>
    <t>Tip</t>
  </si>
  <si>
    <t>З</t>
  </si>
  <si>
    <t>з</t>
  </si>
  <si>
    <t>Соuроп</t>
  </si>
  <si>
    <t>Yi.</t>
  </si>
  <si>
    <t>Y.j</t>
  </si>
  <si>
    <t>Bj gorro</t>
  </si>
  <si>
    <t>Ti gorro</t>
  </si>
  <si>
    <t>y.. Gorro</t>
  </si>
  <si>
    <t>Residuales</t>
  </si>
  <si>
    <t>Yi. Gorro</t>
  </si>
  <si>
    <t>Y.j gorro</t>
  </si>
  <si>
    <t>Coupon</t>
  </si>
  <si>
    <t>ANOVA</t>
  </si>
  <si>
    <t>Error</t>
  </si>
  <si>
    <t>Total</t>
  </si>
  <si>
    <t>SC</t>
  </si>
  <si>
    <t>SCM</t>
  </si>
  <si>
    <t>F(est de pr)</t>
  </si>
  <si>
    <t>Valor crítico</t>
  </si>
  <si>
    <t>Entre (Tr)</t>
  </si>
  <si>
    <t>Bloques</t>
  </si>
  <si>
    <t>GL</t>
  </si>
  <si>
    <t>p-valor</t>
  </si>
  <si>
    <t>Parte b</t>
  </si>
  <si>
    <t>LSD</t>
  </si>
  <si>
    <t>Tip vs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</si>
</sst>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_xlchart.v1.24</cx:f>
      </cx:numDim>
    </cx:data>
    <cx:data id="1">
      <cx:numDim type="val">
        <cx:f dir="row">_xlchart.v1.25</cx:f>
      </cx:numDim>
    </cx:data>
    <cx:data id="2">
      <cx:numDim type="val">
        <cx:f dir="row">_xlchart.v1.26</cx:f>
      </cx:numDim>
    </cx:data>
    <cx:data id="3">
      <cx:numDim type="val">
        <cx:f dir="row">_xlchart.v1.27</cx:f>
      </cx:numDim>
    </cx:data>
  </cx:chartData>
  <cx:chart>
    <cx:title pos="t" align="ctr" overlay="0"/>
    <cx:plotArea>
      <cx:plotAreaRegion>
        <cx:series layoutId="boxWhisker" uniqueId="{5EEFD6AA-7858-5F44-BBF2-E5AC94706B79}"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39C361F7-A0B7-5844-BE45-14DAB744D8F3}">
          <cx:dataId val="1"/>
          <cx:layoutPr>
            <cx:visibility meanLine="0" meanMarker="0" nonoutliers="0" outliers="1"/>
            <cx:statistics quartileMethod="exclusive"/>
          </cx:layoutPr>
        </cx:series>
        <cx:series layoutId="boxWhisker" uniqueId="{D21A7D87-44E4-D146-B32F-B426101EBC11}">
          <cx:dataId val="2"/>
          <cx:layoutPr>
            <cx:visibility meanLine="0" meanMarker="0" nonoutliers="0" outliers="1"/>
            <cx:statistics quartileMethod="exclusive"/>
          </cx:layoutPr>
        </cx:series>
        <cx:series layoutId="boxWhisker" uniqueId="{C116AE21-B943-8F4D-8C78-CBF3C7F55F48}">
          <cx:dataId val="3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104890</xdr:colOff>
      <xdr:row>17</xdr:row>
      <xdr:rowOff>118262</xdr:rowOff>
    </xdr:from>
    <xdr:to>
      <xdr:col>7</xdr:col>
      <xdr:colOff>717781</xdr:colOff>
      <xdr:row>30</xdr:row>
      <xdr:rowOff>187778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BFA07C2-77D3-B95D-49BB-8A9ED93DF0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90" y="361461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A9B6-2C27-1946-942F-ACC105162F2A}">
  <dimension ref="A1:N31"/>
  <sheetViews>
    <sheetView tabSelected="1" topLeftCell="A17" zoomScale="247" workbookViewId="0">
      <selection activeCell="B28" sqref="B28:E31"/>
    </sheetView>
  </sheetViews>
  <sheetFormatPr baseColWidth="10" defaultRowHeight="16" x14ac:dyDescent="0.2"/>
  <cols>
    <col min="2" max="2" width="7" customWidth="1"/>
    <col min="3" max="6" width="5.83203125" customWidth="1"/>
    <col min="10" max="10" width="11" customWidth="1"/>
    <col min="14" max="14" width="12.1640625" bestFit="1" customWidth="1"/>
  </cols>
  <sheetData>
    <row r="1" spans="1:14" x14ac:dyDescent="0.2">
      <c r="G1" t="s">
        <v>8</v>
      </c>
      <c r="I1">
        <f>AVERAGE(C4:F7)</f>
        <v>9.625</v>
      </c>
    </row>
    <row r="2" spans="1:14" x14ac:dyDescent="0.2">
      <c r="C2" s="4" t="s">
        <v>3</v>
      </c>
      <c r="D2" s="4"/>
      <c r="E2" s="4"/>
      <c r="F2" s="4"/>
    </row>
    <row r="3" spans="1:14" x14ac:dyDescent="0.2">
      <c r="B3" t="s">
        <v>0</v>
      </c>
      <c r="C3" s="1">
        <v>1</v>
      </c>
      <c r="D3" s="1">
        <v>2</v>
      </c>
      <c r="E3" s="1" t="s">
        <v>1</v>
      </c>
      <c r="F3" s="1">
        <v>4</v>
      </c>
      <c r="G3" t="s">
        <v>4</v>
      </c>
      <c r="H3" t="s">
        <v>10</v>
      </c>
      <c r="I3" t="s">
        <v>7</v>
      </c>
    </row>
    <row r="4" spans="1:14" x14ac:dyDescent="0.2">
      <c r="B4">
        <v>1</v>
      </c>
      <c r="C4" s="5">
        <v>9.3000000000000007</v>
      </c>
      <c r="D4" s="5">
        <v>9.4</v>
      </c>
      <c r="E4" s="5">
        <v>9.6</v>
      </c>
      <c r="F4" s="5">
        <v>10</v>
      </c>
      <c r="G4">
        <f>SUM(C4:F4)</f>
        <v>38.300000000000004</v>
      </c>
      <c r="H4">
        <f>AVERAGE(C4:F4)</f>
        <v>9.5750000000000011</v>
      </c>
      <c r="I4">
        <f>AVERAGE(C4:F4)-$I$1</f>
        <v>-4.9999999999998934E-2</v>
      </c>
    </row>
    <row r="5" spans="1:14" x14ac:dyDescent="0.2">
      <c r="B5">
        <v>2</v>
      </c>
      <c r="C5" s="5">
        <v>9.4</v>
      </c>
      <c r="D5" s="5">
        <v>9.3000000000000007</v>
      </c>
      <c r="E5" s="5">
        <v>9.8000000000000007</v>
      </c>
      <c r="F5" s="5">
        <v>9.9</v>
      </c>
      <c r="G5">
        <f t="shared" ref="G5:G7" si="0">SUM(C5:F5)</f>
        <v>38.400000000000006</v>
      </c>
      <c r="H5">
        <f t="shared" ref="H5:H7" si="1">AVERAGE(C5:F5)</f>
        <v>9.6000000000000014</v>
      </c>
      <c r="I5">
        <f t="shared" ref="I5:I7" si="2">AVERAGE(C5:F5)-$I$1</f>
        <v>-2.4999999999998579E-2</v>
      </c>
    </row>
    <row r="6" spans="1:14" x14ac:dyDescent="0.2">
      <c r="B6" s="2" t="s">
        <v>2</v>
      </c>
      <c r="C6" s="5">
        <v>9.1999999999999993</v>
      </c>
      <c r="D6" s="5">
        <v>9.4</v>
      </c>
      <c r="E6" s="5">
        <v>9.5</v>
      </c>
      <c r="F6" s="5">
        <v>9.6999999999999993</v>
      </c>
      <c r="G6">
        <f t="shared" si="0"/>
        <v>37.799999999999997</v>
      </c>
      <c r="H6">
        <f t="shared" si="1"/>
        <v>9.4499999999999993</v>
      </c>
      <c r="I6">
        <f t="shared" si="2"/>
        <v>-0.17500000000000071</v>
      </c>
    </row>
    <row r="7" spans="1:14" x14ac:dyDescent="0.2">
      <c r="B7">
        <v>4</v>
      </c>
      <c r="C7" s="5">
        <v>9.6999999999999993</v>
      </c>
      <c r="D7" s="5">
        <v>9.6</v>
      </c>
      <c r="E7" s="5">
        <v>10</v>
      </c>
      <c r="F7" s="5">
        <v>10.199999999999999</v>
      </c>
      <c r="G7">
        <f t="shared" si="0"/>
        <v>39.5</v>
      </c>
      <c r="H7">
        <f t="shared" si="1"/>
        <v>9.875</v>
      </c>
      <c r="I7">
        <f t="shared" si="2"/>
        <v>0.25</v>
      </c>
    </row>
    <row r="8" spans="1:14" x14ac:dyDescent="0.2">
      <c r="B8" t="s">
        <v>5</v>
      </c>
      <c r="C8">
        <f>SUM(C4:C7)</f>
        <v>37.6</v>
      </c>
      <c r="D8">
        <f t="shared" ref="D8:F8" si="3">SUM(D4:D7)</f>
        <v>37.700000000000003</v>
      </c>
      <c r="E8">
        <f t="shared" si="3"/>
        <v>38.9</v>
      </c>
      <c r="F8">
        <f t="shared" si="3"/>
        <v>39.799999999999997</v>
      </c>
      <c r="G8" s="6">
        <f>SUM(C4:F7)</f>
        <v>154</v>
      </c>
      <c r="H8" s="6"/>
    </row>
    <row r="9" spans="1:14" x14ac:dyDescent="0.2">
      <c r="B9" t="s">
        <v>6</v>
      </c>
      <c r="C9">
        <f>AVERAGE(C4:C7)-$I$1</f>
        <v>-0.22499999999999964</v>
      </c>
      <c r="D9">
        <f t="shared" ref="D9:F9" si="4">AVERAGE(D4:D7)-$I$1</f>
        <v>-0.19999999999999929</v>
      </c>
      <c r="E9">
        <f t="shared" si="4"/>
        <v>9.9999999999999645E-2</v>
      </c>
      <c r="F9">
        <f t="shared" si="4"/>
        <v>0.32499999999999929</v>
      </c>
    </row>
    <row r="10" spans="1:14" x14ac:dyDescent="0.2">
      <c r="B10" t="s">
        <v>11</v>
      </c>
      <c r="C10">
        <f>AVERAGE(C4:C7)</f>
        <v>9.4</v>
      </c>
      <c r="D10">
        <f t="shared" ref="D10:F10" si="5">AVERAGE(D4:D7)</f>
        <v>9.4250000000000007</v>
      </c>
      <c r="E10">
        <f t="shared" si="5"/>
        <v>9.7249999999999996</v>
      </c>
      <c r="F10">
        <f t="shared" si="5"/>
        <v>9.9499999999999993</v>
      </c>
    </row>
    <row r="11" spans="1:14" x14ac:dyDescent="0.2">
      <c r="A11" t="s">
        <v>9</v>
      </c>
    </row>
    <row r="12" spans="1:14" x14ac:dyDescent="0.2">
      <c r="B12" t="s">
        <v>0</v>
      </c>
      <c r="C12" s="3" t="s">
        <v>12</v>
      </c>
      <c r="D12" s="3"/>
      <c r="E12" s="3"/>
      <c r="F12" s="3"/>
      <c r="H12" t="s">
        <v>13</v>
      </c>
      <c r="I12" t="s">
        <v>16</v>
      </c>
      <c r="J12" t="s">
        <v>22</v>
      </c>
      <c r="K12" t="s">
        <v>17</v>
      </c>
      <c r="L12" t="s">
        <v>18</v>
      </c>
      <c r="M12" t="s">
        <v>19</v>
      </c>
      <c r="N12" t="s">
        <v>23</v>
      </c>
    </row>
    <row r="13" spans="1:14" x14ac:dyDescent="0.2">
      <c r="B13">
        <v>1</v>
      </c>
      <c r="C13">
        <f>C4-$H$4-C10+$I$1</f>
        <v>-5.0000000000000711E-2</v>
      </c>
      <c r="D13">
        <f t="shared" ref="D13:F13" si="6">D4-$H$4-D10+$I$1</f>
        <v>2.4999999999998579E-2</v>
      </c>
      <c r="E13">
        <f t="shared" si="6"/>
        <v>-7.5000000000001066E-2</v>
      </c>
      <c r="F13">
        <f t="shared" si="6"/>
        <v>9.9999999999999645E-2</v>
      </c>
      <c r="H13" t="s">
        <v>20</v>
      </c>
      <c r="I13">
        <f>(1/4)*SUMSQ(G4:G7)-SUM(C4:F7)^2/16</f>
        <v>0.38500000000021828</v>
      </c>
      <c r="J13">
        <v>3</v>
      </c>
      <c r="K13">
        <f>I13/J13</f>
        <v>0.1283333333334061</v>
      </c>
      <c r="L13">
        <f>K13/K15</f>
        <v>14.437500000062352</v>
      </c>
      <c r="M13">
        <f>_xlfn.F.INV.RT(0.05,J13,J15)</f>
        <v>3.8625483576247657</v>
      </c>
      <c r="N13">
        <f>_xlfn.F.DIST.RT(L13,J13,J15)</f>
        <v>8.7127207109790141E-4</v>
      </c>
    </row>
    <row r="14" spans="1:14" x14ac:dyDescent="0.2">
      <c r="B14">
        <v>2</v>
      </c>
      <c r="C14">
        <f>C5-$H$5-C10+$I$1</f>
        <v>2.4999999999998579E-2</v>
      </c>
      <c r="D14">
        <f t="shared" ref="D14:F14" si="7">D5-$H$5-D10+$I$1</f>
        <v>-0.10000000000000142</v>
      </c>
      <c r="E14">
        <f t="shared" si="7"/>
        <v>9.9999999999999645E-2</v>
      </c>
      <c r="F14">
        <f t="shared" si="7"/>
        <v>-2.5000000000000355E-2</v>
      </c>
      <c r="H14" t="s">
        <v>21</v>
      </c>
      <c r="I14">
        <f>(1/4)*SUMSQ(C8:F8)-SUM(C4:F7)^2/16</f>
        <v>0.82500000000004547</v>
      </c>
      <c r="J14">
        <v>3</v>
      </c>
      <c r="K14">
        <f>I14/J14</f>
        <v>0.27500000000001518</v>
      </c>
      <c r="L14">
        <f>K14/K15</f>
        <v>30.937500000117776</v>
      </c>
      <c r="M14">
        <f>_xlfn.F.INV.RT(0.05,3,9)</f>
        <v>3.8625483576247657</v>
      </c>
      <c r="N14">
        <f>_xlfn.F.DIST.RT(L14,3,9)</f>
        <v>4.5232698579262705E-5</v>
      </c>
    </row>
    <row r="15" spans="1:14" x14ac:dyDescent="0.2">
      <c r="B15" s="2" t="s">
        <v>2</v>
      </c>
      <c r="C15">
        <f>C6-$H$6-C10+$I$1</f>
        <v>-2.5000000000000355E-2</v>
      </c>
      <c r="D15">
        <f t="shared" ref="D15:F15" si="8">D6-$H$6-D10+$I$1</f>
        <v>0.15000000000000036</v>
      </c>
      <c r="E15">
        <f t="shared" si="8"/>
        <v>-4.9999999999998934E-2</v>
      </c>
      <c r="F15">
        <f t="shared" si="8"/>
        <v>-7.4999999999999289E-2</v>
      </c>
      <c r="H15" t="s">
        <v>14</v>
      </c>
      <c r="I15">
        <f>I16-I14-I13</f>
        <v>7.9999999999699867E-2</v>
      </c>
      <c r="J15">
        <v>9</v>
      </c>
      <c r="K15">
        <f>I15/J15</f>
        <v>8.8888888888555406E-3</v>
      </c>
    </row>
    <row r="16" spans="1:14" x14ac:dyDescent="0.2">
      <c r="B16">
        <v>4</v>
      </c>
      <c r="C16">
        <f>C7-$H$7-C10+$I$1</f>
        <v>4.9999999999998934E-2</v>
      </c>
      <c r="D16">
        <f t="shared" ref="D16:F16" si="9">D7-$H$7-D10+$I$1</f>
        <v>-7.5000000000001066E-2</v>
      </c>
      <c r="E16">
        <f t="shared" si="9"/>
        <v>2.5000000000000355E-2</v>
      </c>
      <c r="F16">
        <f t="shared" si="9"/>
        <v>0</v>
      </c>
      <c r="H16" t="s">
        <v>15</v>
      </c>
      <c r="I16">
        <f>SUMSQ(C4:F7)-SUM(C4:F7)^2/16</f>
        <v>1.2899999999999636</v>
      </c>
      <c r="J16">
        <v>15</v>
      </c>
    </row>
    <row r="18" spans="2:12" x14ac:dyDescent="0.2">
      <c r="G18" t="s">
        <v>24</v>
      </c>
      <c r="H18" t="s">
        <v>25</v>
      </c>
      <c r="I18">
        <f>_xlfn.T.INV(0.975,9)*SQRT(2*K15/4)</f>
        <v>0.15081047751959745</v>
      </c>
    </row>
    <row r="19" spans="2:12" x14ac:dyDescent="0.2">
      <c r="G19" s="3" t="s">
        <v>26</v>
      </c>
      <c r="H19" s="3"/>
    </row>
    <row r="20" spans="2:12" x14ac:dyDescent="0.2">
      <c r="G20">
        <v>1</v>
      </c>
      <c r="H20">
        <v>2</v>
      </c>
      <c r="I20">
        <f>ABS($H$4-H5)</f>
        <v>2.5000000000000355E-2</v>
      </c>
      <c r="J20" s="3" t="str">
        <f>IF(I20&gt;$I$18,"Hay diferencia significativa","No hay diferencia significativa")</f>
        <v>No hay diferencia significativa</v>
      </c>
      <c r="K20" s="3"/>
      <c r="L20" s="3"/>
    </row>
    <row r="21" spans="2:12" x14ac:dyDescent="0.2">
      <c r="G21">
        <v>1</v>
      </c>
      <c r="H21">
        <v>3</v>
      </c>
      <c r="I21">
        <f t="shared" ref="I21:I22" si="10">ABS($H$4-H6)</f>
        <v>0.12500000000000178</v>
      </c>
      <c r="J21" s="3" t="str">
        <f t="shared" ref="J21:J25" si="11">IF(I21&gt;$I$18,"Hay diferencia significativa","No hay diferencia significativa")</f>
        <v>No hay diferencia significativa</v>
      </c>
      <c r="K21" s="3"/>
      <c r="L21" s="3"/>
    </row>
    <row r="22" spans="2:12" x14ac:dyDescent="0.2">
      <c r="G22">
        <v>1</v>
      </c>
      <c r="H22">
        <v>4</v>
      </c>
      <c r="I22">
        <f t="shared" si="10"/>
        <v>0.29999999999999893</v>
      </c>
      <c r="J22" s="3" t="str">
        <f t="shared" si="11"/>
        <v>Hay diferencia significativa</v>
      </c>
      <c r="K22" s="3"/>
      <c r="L22" s="3"/>
    </row>
    <row r="23" spans="2:12" x14ac:dyDescent="0.2">
      <c r="G23">
        <v>2</v>
      </c>
      <c r="H23">
        <v>3</v>
      </c>
      <c r="I23">
        <f>ABS($H$5-H6)</f>
        <v>0.15000000000000213</v>
      </c>
      <c r="J23" s="3" t="str">
        <f t="shared" si="11"/>
        <v>No hay diferencia significativa</v>
      </c>
      <c r="K23" s="3"/>
      <c r="L23" s="3"/>
    </row>
    <row r="24" spans="2:12" x14ac:dyDescent="0.2">
      <c r="G24">
        <v>2</v>
      </c>
      <c r="H24">
        <v>4</v>
      </c>
      <c r="I24">
        <f>ABS($H$5-H7)</f>
        <v>0.27499999999999858</v>
      </c>
      <c r="J24" s="3" t="str">
        <f t="shared" si="11"/>
        <v>Hay diferencia significativa</v>
      </c>
      <c r="K24" s="3"/>
      <c r="L24" s="3"/>
    </row>
    <row r="25" spans="2:12" x14ac:dyDescent="0.2">
      <c r="G25">
        <v>3</v>
      </c>
      <c r="H25">
        <v>4</v>
      </c>
      <c r="I25">
        <f>ABS(H6-H7)</f>
        <v>0.42500000000000071</v>
      </c>
      <c r="J25" s="3" t="str">
        <f t="shared" si="11"/>
        <v>Hay diferencia significativa</v>
      </c>
      <c r="K25" s="3"/>
      <c r="L25" s="3"/>
    </row>
    <row r="27" spans="2:12" x14ac:dyDescent="0.2">
      <c r="B27">
        <v>1</v>
      </c>
      <c r="C27">
        <v>2</v>
      </c>
      <c r="D27">
        <v>3</v>
      </c>
      <c r="E27">
        <v>4</v>
      </c>
    </row>
    <row r="28" spans="2:12" x14ac:dyDescent="0.2">
      <c r="B28">
        <v>-5.0000000000000711E-2</v>
      </c>
      <c r="C28">
        <v>2.4999999999998579E-2</v>
      </c>
      <c r="D28">
        <v>-2.5000000000000355E-2</v>
      </c>
      <c r="E28">
        <v>4.9999999999998934E-2</v>
      </c>
    </row>
    <row r="29" spans="2:12" x14ac:dyDescent="0.2">
      <c r="B29">
        <v>2.4999999999998579E-2</v>
      </c>
      <c r="C29">
        <v>-0.10000000000000142</v>
      </c>
      <c r="D29">
        <v>0.15000000000000036</v>
      </c>
      <c r="E29">
        <v>-7.5000000000001066E-2</v>
      </c>
    </row>
    <row r="30" spans="2:12" x14ac:dyDescent="0.2">
      <c r="B30">
        <v>-7.5000000000001066E-2</v>
      </c>
      <c r="C30">
        <v>9.9999999999999645E-2</v>
      </c>
      <c r="D30">
        <v>-4.9999999999998934E-2</v>
      </c>
      <c r="E30">
        <v>2.5000000000000355E-2</v>
      </c>
    </row>
    <row r="31" spans="2:12" x14ac:dyDescent="0.2">
      <c r="B31">
        <v>9.9999999999999645E-2</v>
      </c>
      <c r="C31">
        <v>-2.5000000000000355E-2</v>
      </c>
      <c r="D31">
        <v>-7.4999999999999289E-2</v>
      </c>
      <c r="E31">
        <v>0</v>
      </c>
    </row>
  </sheetData>
  <mergeCells count="9">
    <mergeCell ref="J22:L22"/>
    <mergeCell ref="J23:L23"/>
    <mergeCell ref="J24:L24"/>
    <mergeCell ref="J25:L25"/>
    <mergeCell ref="C2:F2"/>
    <mergeCell ref="C12:F12"/>
    <mergeCell ref="G19:H19"/>
    <mergeCell ref="J20:L20"/>
    <mergeCell ref="J21:L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SIERRA JAVIER</dc:creator>
  <cp:lastModifiedBy>MAURICIO SIERRA JAVIER</cp:lastModifiedBy>
  <dcterms:created xsi:type="dcterms:W3CDTF">2026-03-21T11:39:26Z</dcterms:created>
  <dcterms:modified xsi:type="dcterms:W3CDTF">2026-03-21T13:03:31Z</dcterms:modified>
</cp:coreProperties>
</file>