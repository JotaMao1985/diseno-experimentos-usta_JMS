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mauriciosierra/Documents/Trabajo 2026/Usta 2026I/Diseno de experimentos/"/>
    </mc:Choice>
  </mc:AlternateContent>
  <xr:revisionPtr revIDLastSave="0" documentId="8_{F9CABEAD-56F0-FA43-93B8-67A4DA868B78}" xr6:coauthVersionLast="47" xr6:coauthVersionMax="47" xr10:uidLastSave="{00000000-0000-0000-0000-000000000000}"/>
  <bookViews>
    <workbookView xWindow="80" yWindow="5840" windowWidth="25440" windowHeight="13040" activeTab="1" xr2:uid="{9EC99750-64E2-854C-864E-BB1F0A5E7AD5}"/>
  </bookViews>
  <sheets>
    <sheet name="Sheet3" sheetId="3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3" i="1"/>
  <c r="C11" i="1"/>
  <c r="D11" i="1"/>
  <c r="E11" i="1"/>
  <c r="F11" i="1"/>
  <c r="B11" i="1"/>
  <c r="C10" i="1"/>
  <c r="D10" i="1"/>
  <c r="D9" i="1"/>
  <c r="E9" i="1"/>
  <c r="F9" i="1"/>
  <c r="B9" i="1"/>
  <c r="C8" i="1"/>
  <c r="D8" i="1"/>
  <c r="E8" i="1"/>
  <c r="F8" i="1"/>
  <c r="G3" i="1"/>
  <c r="C9" i="1" s="1"/>
  <c r="G4" i="1"/>
  <c r="E10" i="1" s="1"/>
  <c r="G5" i="1"/>
  <c r="G6" i="1"/>
  <c r="C12" i="1" s="1"/>
  <c r="G2" i="1"/>
  <c r="B8" i="1" s="1"/>
  <c r="B10" i="1" l="1"/>
  <c r="E12" i="1"/>
  <c r="F10" i="1"/>
  <c r="D12" i="1"/>
  <c r="B12" i="1"/>
  <c r="F12" i="1"/>
</calcChain>
</file>

<file path=xl/sharedStrings.xml><?xml version="1.0" encoding="utf-8"?>
<sst xmlns="http://schemas.openxmlformats.org/spreadsheetml/2006/main" count="32" uniqueCount="27">
  <si>
    <t>Batch 1</t>
  </si>
  <si>
    <t>Batch 2</t>
  </si>
  <si>
    <t>Batch 3</t>
  </si>
  <si>
    <t>Batch 4</t>
  </si>
  <si>
    <t>Batch 5</t>
  </si>
  <si>
    <t>Residuos</t>
  </si>
  <si>
    <t>dij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</si>
  <si>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</si>
  <si>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</si>
  <si>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</si>
  <si>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</si>
  <si>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</si>
  <si>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</si>
  <si>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</si>
  <si>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</si>
  <si>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</si>
  <si>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</si>
  <si>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</si>
  <si>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</si>
  <si>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</si>
  <si>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</si>
  <si>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</si>
  <si>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</si>
  <si>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</si>
  <si>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</si>
  <si>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eje x</t>
  </si>
  <si>
    <t>eje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</si>
</sst>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Sheet1!$B$15:$B$39</c:f>
              <c:numCache>
                <c:formatCode>General</c:formatCode>
                <c:ptCount val="25"/>
                <c:pt idx="0">
                  <c:v>2.0000000000024443E-3</c:v>
                </c:pt>
                <c:pt idx="1">
                  <c:v>2.2000000000002018E-2</c:v>
                </c:pt>
                <c:pt idx="2">
                  <c:v>0.10200000000000031</c:v>
                </c:pt>
                <c:pt idx="3">
                  <c:v>-6.799999999999784E-2</c:v>
                </c:pt>
                <c:pt idx="4">
                  <c:v>-5.7999999999999829E-2</c:v>
                </c:pt>
                <c:pt idx="5">
                  <c:v>9.800000000000253E-2</c:v>
                </c:pt>
                <c:pt idx="6">
                  <c:v>-3.1999999999996476E-2</c:v>
                </c:pt>
                <c:pt idx="7">
                  <c:v>-7.1999999999995623E-2</c:v>
                </c:pt>
                <c:pt idx="8">
                  <c:v>-1.9999999999988916E-3</c:v>
                </c:pt>
                <c:pt idx="9">
                  <c:v>8.0000000000026716E-3</c:v>
                </c:pt>
                <c:pt idx="10">
                  <c:v>-1.3999999999999346E-2</c:v>
                </c:pt>
                <c:pt idx="11">
                  <c:v>0.11599999999999966</c:v>
                </c:pt>
                <c:pt idx="12">
                  <c:v>-6.4000000000000057E-2</c:v>
                </c:pt>
                <c:pt idx="13">
                  <c:v>-4.0000000000013358E-3</c:v>
                </c:pt>
                <c:pt idx="14">
                  <c:v>-3.4000000000002473E-2</c:v>
                </c:pt>
                <c:pt idx="15">
                  <c:v>-9.9999999999997868E-2</c:v>
                </c:pt>
                <c:pt idx="16">
                  <c:v>1.9999999999999574E-2</c:v>
                </c:pt>
                <c:pt idx="17">
                  <c:v>-9.9999999999980105E-3</c:v>
                </c:pt>
                <c:pt idx="18">
                  <c:v>8.0000000000001847E-2</c:v>
                </c:pt>
                <c:pt idx="19">
                  <c:v>1.0000000000001563E-2</c:v>
                </c:pt>
                <c:pt idx="20">
                  <c:v>-7.3999999999998067E-2</c:v>
                </c:pt>
                <c:pt idx="21">
                  <c:v>9.6000000000003638E-2</c:v>
                </c:pt>
                <c:pt idx="22">
                  <c:v>6.0000000000037801E-3</c:v>
                </c:pt>
                <c:pt idx="23">
                  <c:v>-4.399999999999693E-2</c:v>
                </c:pt>
                <c:pt idx="24">
                  <c:v>1.6000000000001791E-2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E-7548-9B2C-8F41DA3D1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055872"/>
        <c:axId val="1965059456"/>
      </c:scatterChart>
      <c:valAx>
        <c:axId val="196505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965059456"/>
        <c:crosses val="autoZero"/>
        <c:crossBetween val="midCat"/>
      </c:valAx>
      <c:valAx>
        <c:axId val="19650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96505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eje 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Sheet1!$J$2:$J$26</c:f>
              <c:numCache>
                <c:formatCode>General</c:formatCode>
                <c:ptCount val="25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  <c:pt idx="8">
                  <c:v>0.34</c:v>
                </c:pt>
                <c:pt idx="9">
                  <c:v>0.38</c:v>
                </c:pt>
                <c:pt idx="10">
                  <c:v>0.42</c:v>
                </c:pt>
                <c:pt idx="11">
                  <c:v>0.46</c:v>
                </c:pt>
                <c:pt idx="12">
                  <c:v>0.5</c:v>
                </c:pt>
                <c:pt idx="13">
                  <c:v>0.54</c:v>
                </c:pt>
                <c:pt idx="14">
                  <c:v>0.57999999999999996</c:v>
                </c:pt>
                <c:pt idx="15">
                  <c:v>0.62</c:v>
                </c:pt>
                <c:pt idx="16">
                  <c:v>0.66</c:v>
                </c:pt>
                <c:pt idx="17">
                  <c:v>0.7</c:v>
                </c:pt>
                <c:pt idx="18">
                  <c:v>0.74</c:v>
                </c:pt>
                <c:pt idx="19">
                  <c:v>0.78</c:v>
                </c:pt>
                <c:pt idx="20">
                  <c:v>0.82</c:v>
                </c:pt>
                <c:pt idx="21">
                  <c:v>0.86</c:v>
                </c:pt>
                <c:pt idx="22">
                  <c:v>0.9</c:v>
                </c:pt>
                <c:pt idx="23">
                  <c:v>0.94</c:v>
                </c:pt>
                <c:pt idx="24">
                  <c:v>0.98</c:v>
                </c:pt>
              </c:numCache>
            </c:numRef>
          </c:xVal>
          <c:yVal>
            <c:numRef>
              <c:f>Sheet1!$K$2:$K$26</c:f>
              <c:numCache>
                <c:formatCode>General</c:formatCode>
                <c:ptCount val="25"/>
                <c:pt idx="0">
                  <c:v>-2.0537489106318225</c:v>
                </c:pt>
                <c:pt idx="1">
                  <c:v>-1.554773594596853</c:v>
                </c:pt>
                <c:pt idx="2">
                  <c:v>-1.2815515655446006</c:v>
                </c:pt>
                <c:pt idx="3">
                  <c:v>-1.0803193408149565</c:v>
                </c:pt>
                <c:pt idx="4">
                  <c:v>-0.91536508784281501</c:v>
                </c:pt>
                <c:pt idx="5">
                  <c:v>-0.77219321418868503</c:v>
                </c:pt>
                <c:pt idx="6">
                  <c:v>-0.64334540539291696</c:v>
                </c:pt>
                <c:pt idx="7">
                  <c:v>-0.52440051270804089</c:v>
                </c:pt>
                <c:pt idx="8">
                  <c:v>-0.41246312944140484</c:v>
                </c:pt>
                <c:pt idx="9">
                  <c:v>-0.30548078809939727</c:v>
                </c:pt>
                <c:pt idx="10">
                  <c:v>-0.20189347914185088</c:v>
                </c:pt>
                <c:pt idx="11">
                  <c:v>-0.10043372051146976</c:v>
                </c:pt>
                <c:pt idx="12">
                  <c:v>0</c:v>
                </c:pt>
                <c:pt idx="13">
                  <c:v>0.10043372051146988</c:v>
                </c:pt>
                <c:pt idx="14">
                  <c:v>0.20189347914185077</c:v>
                </c:pt>
                <c:pt idx="15">
                  <c:v>0.30548078809939727</c:v>
                </c:pt>
                <c:pt idx="16">
                  <c:v>0.41246312944140473</c:v>
                </c:pt>
                <c:pt idx="17">
                  <c:v>0.52440051270804078</c:v>
                </c:pt>
                <c:pt idx="18">
                  <c:v>0.64334540539291696</c:v>
                </c:pt>
                <c:pt idx="19">
                  <c:v>0.77219321418868503</c:v>
                </c:pt>
                <c:pt idx="20">
                  <c:v>0.91536508784281256</c:v>
                </c:pt>
                <c:pt idx="21">
                  <c:v>1.0803193408149565</c:v>
                </c:pt>
                <c:pt idx="22">
                  <c:v>1.2815515655446006</c:v>
                </c:pt>
                <c:pt idx="23">
                  <c:v>1.5547735945968528</c:v>
                </c:pt>
                <c:pt idx="24">
                  <c:v>2.0537489106318221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E-9B47-AD57-FC83D677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794816"/>
        <c:axId val="1866360896"/>
      </c:scatterChart>
      <c:valAx>
        <c:axId val="186979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866360896"/>
        <c:crosses val="autoZero"/>
        <c:crossBetween val="midCat"/>
      </c:valAx>
      <c:valAx>
        <c:axId val="18663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86979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235057</xdr:colOff>
      <xdr:row>26</xdr:row>
      <xdr:rowOff>148147</xdr:rowOff>
    </xdr:from>
    <xdr:to>
      <xdr:col>7</xdr:col>
      <xdr:colOff>688139</xdr:colOff>
      <xdr:row>40</xdr:row>
      <xdr:rowOff>76752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0D490-9006-9A36-A3AC-192CA72DA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438470</xdr:colOff>
      <xdr:row>16</xdr:row>
      <xdr:rowOff>40299</xdr:rowOff>
    </xdr:from>
    <xdr:to>
      <xdr:col>9</xdr:col>
      <xdr:colOff>72369</xdr:colOff>
      <xdr:row>29</xdr:row>
      <xdr:rowOff>108694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97AE4-A5B4-4FEC-5330-0D7648017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F7F0-B93A-9344-BA8B-D658584FF9E8}">
  <dimension ref="A1:G17"/>
  <sheetViews>
    <sheetView topLeftCell="A3" zoomScale="137" workbookViewId="0">
      <selection sqref="A1:G17"/>
    </sheetView>
  </sheetViews>
  <sheetFormatPr baseColWidth="10" defaultRowHeight="16" x14ac:dyDescent="0.2"/>
  <sheetData>
    <row r="1" spans="1:7" x14ac:dyDescent="0.2">
      <c r="A1" t="s">
        <v>7</v>
      </c>
    </row>
    <row r="3" spans="1:7" ht="17" thickBot="1" x14ac:dyDescent="0.25">
      <c r="A3" t="s">
        <v>8</v>
      </c>
    </row>
    <row r="4" spans="1:7" x14ac:dyDescent="0.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7" x14ac:dyDescent="0.2">
      <c r="A5" s="1" t="s">
        <v>0</v>
      </c>
      <c r="B5" s="1">
        <v>6</v>
      </c>
      <c r="C5" s="1">
        <v>140.74799999999999</v>
      </c>
      <c r="D5" s="1">
        <v>23.457999999999998</v>
      </c>
      <c r="E5" s="1">
        <v>3.7759999999999695E-3</v>
      </c>
    </row>
    <row r="6" spans="1:7" x14ac:dyDescent="0.2">
      <c r="A6" s="1" t="s">
        <v>1</v>
      </c>
      <c r="B6" s="1">
        <v>6</v>
      </c>
      <c r="C6" s="1">
        <v>140.952</v>
      </c>
      <c r="D6" s="1">
        <v>23.492000000000001</v>
      </c>
      <c r="E6" s="1">
        <v>3.1759999999999358E-3</v>
      </c>
    </row>
    <row r="7" spans="1:7" x14ac:dyDescent="0.2">
      <c r="A7" s="1" t="s">
        <v>2</v>
      </c>
      <c r="B7" s="1">
        <v>6</v>
      </c>
      <c r="C7" s="1">
        <v>141.14400000000001</v>
      </c>
      <c r="D7" s="1">
        <v>23.524000000000001</v>
      </c>
      <c r="E7" s="1">
        <v>3.7840000000000174E-3</v>
      </c>
    </row>
    <row r="8" spans="1:7" x14ac:dyDescent="0.2">
      <c r="A8" s="1" t="s">
        <v>3</v>
      </c>
      <c r="B8" s="1">
        <v>6</v>
      </c>
      <c r="C8" s="1">
        <v>140.28</v>
      </c>
      <c r="D8" s="1">
        <v>23.38</v>
      </c>
      <c r="E8" s="1">
        <v>3.3999999999999682E-3</v>
      </c>
    </row>
    <row r="9" spans="1:7" ht="17" thickBot="1" x14ac:dyDescent="0.25">
      <c r="A9" s="2" t="s">
        <v>4</v>
      </c>
      <c r="B9" s="2">
        <v>6</v>
      </c>
      <c r="C9" s="2">
        <v>140.184</v>
      </c>
      <c r="D9" s="2">
        <v>23.364000000000001</v>
      </c>
      <c r="E9" s="2">
        <v>3.3840000000000489E-3</v>
      </c>
    </row>
    <row r="12" spans="1:7" ht="17" thickBot="1" x14ac:dyDescent="0.25">
      <c r="A12" t="s">
        <v>14</v>
      </c>
    </row>
    <row r="13" spans="1:7" x14ac:dyDescent="0.2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</row>
    <row r="14" spans="1:7" x14ac:dyDescent="0.2">
      <c r="A14" s="1" t="s">
        <v>22</v>
      </c>
      <c r="B14" s="1">
        <v>0.11637120000000029</v>
      </c>
      <c r="C14" s="1">
        <v>4</v>
      </c>
      <c r="D14" s="1">
        <v>2.9092800000000071E-2</v>
      </c>
      <c r="E14" s="1">
        <v>8.3027397260274451</v>
      </c>
      <c r="F14" s="1">
        <v>2.0982944559961474E-4</v>
      </c>
      <c r="G14" s="1">
        <v>2.7587104697176335</v>
      </c>
    </row>
    <row r="15" spans="1:7" x14ac:dyDescent="0.2">
      <c r="A15" s="1" t="s">
        <v>23</v>
      </c>
      <c r="B15" s="1">
        <v>8.7599999999999706E-2</v>
      </c>
      <c r="C15" s="1">
        <v>25</v>
      </c>
      <c r="D15" s="1">
        <v>3.503999999999988E-3</v>
      </c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ht="17" thickBot="1" x14ac:dyDescent="0.25">
      <c r="A17" s="2" t="s">
        <v>24</v>
      </c>
      <c r="B17" s="2">
        <v>0.20397119999999999</v>
      </c>
      <c r="C17" s="2">
        <v>29</v>
      </c>
      <c r="D17" s="2"/>
      <c r="E17" s="2"/>
      <c r="F17" s="2"/>
      <c r="G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053-FA60-2849-85FD-4B84F98DA771}">
  <dimension ref="A1:K39"/>
  <sheetViews>
    <sheetView tabSelected="1" topLeftCell="B11" zoomScale="179" workbookViewId="0">
      <selection activeCell="K27" sqref="K27:K39"/>
    </sheetView>
  </sheetViews>
  <sheetFormatPr baseColWidth="10" defaultRowHeight="16" x14ac:dyDescent="0.2"/>
  <sheetData>
    <row r="1" spans="1:11" x14ac:dyDescent="0.2">
      <c r="I1" t="s">
        <v>6</v>
      </c>
      <c r="J1" t="s">
        <v>25</v>
      </c>
      <c r="K1" t="s">
        <v>26</v>
      </c>
    </row>
    <row r="2" spans="1:11" x14ac:dyDescent="0.2">
      <c r="A2" t="s">
        <v>0</v>
      </c>
      <c r="B2">
        <v>23.46</v>
      </c>
      <c r="C2">
        <v>23.48</v>
      </c>
      <c r="D2">
        <v>23.56</v>
      </c>
      <c r="E2">
        <v>23.39</v>
      </c>
      <c r="F2">
        <v>23.4</v>
      </c>
      <c r="G2">
        <f>AVERAGE(B2:F2)</f>
        <v>23.457999999999998</v>
      </c>
      <c r="H2">
        <v>1</v>
      </c>
      <c r="I2">
        <v>-9.9999999999997868E-2</v>
      </c>
      <c r="J2">
        <f>(H2-0.5)/25</f>
        <v>0.02</v>
      </c>
      <c r="K2">
        <f>_xlfn.NORM.INV(J2,0,1)</f>
        <v>-2.0537489106318225</v>
      </c>
    </row>
    <row r="3" spans="1:11" x14ac:dyDescent="0.2">
      <c r="A3" t="s">
        <v>1</v>
      </c>
      <c r="B3">
        <v>23.59</v>
      </c>
      <c r="C3">
        <v>23.46</v>
      </c>
      <c r="D3">
        <v>23.42</v>
      </c>
      <c r="E3">
        <v>23.49</v>
      </c>
      <c r="F3">
        <v>23.5</v>
      </c>
      <c r="G3">
        <f t="shared" ref="G3:G6" si="0">AVERAGE(B3:F3)</f>
        <v>23.491999999999997</v>
      </c>
      <c r="H3">
        <f>H2+1</f>
        <v>2</v>
      </c>
      <c r="I3">
        <v>-7.3999999999998067E-2</v>
      </c>
      <c r="J3">
        <f t="shared" ref="J3:J39" si="1">(H3-0.5)/25</f>
        <v>0.06</v>
      </c>
      <c r="K3">
        <f t="shared" ref="K3:K39" si="2">_xlfn.NORM.INV(J3,0,1)</f>
        <v>-1.554773594596853</v>
      </c>
    </row>
    <row r="4" spans="1:11" x14ac:dyDescent="0.2">
      <c r="A4" t="s">
        <v>2</v>
      </c>
      <c r="B4">
        <v>23.51</v>
      </c>
      <c r="C4">
        <v>23.64</v>
      </c>
      <c r="D4">
        <v>23.46</v>
      </c>
      <c r="E4">
        <v>23.52</v>
      </c>
      <c r="F4">
        <v>23.49</v>
      </c>
      <c r="G4">
        <f t="shared" si="0"/>
        <v>23.524000000000001</v>
      </c>
      <c r="H4">
        <f t="shared" ref="H4:H26" si="3">H3+1</f>
        <v>3</v>
      </c>
      <c r="I4">
        <v>-7.1999999999995623E-2</v>
      </c>
      <c r="J4">
        <f t="shared" si="1"/>
        <v>0.1</v>
      </c>
      <c r="K4">
        <f t="shared" si="2"/>
        <v>-1.2815515655446006</v>
      </c>
    </row>
    <row r="5" spans="1:11" x14ac:dyDescent="0.2">
      <c r="A5" t="s">
        <v>3</v>
      </c>
      <c r="B5">
        <v>23.28</v>
      </c>
      <c r="C5">
        <v>23.4</v>
      </c>
      <c r="D5">
        <v>23.37</v>
      </c>
      <c r="E5">
        <v>23.46</v>
      </c>
      <c r="F5">
        <v>23.39</v>
      </c>
      <c r="G5">
        <f t="shared" si="0"/>
        <v>23.38</v>
      </c>
      <c r="H5">
        <f t="shared" si="3"/>
        <v>4</v>
      </c>
      <c r="I5">
        <v>-6.799999999999784E-2</v>
      </c>
      <c r="J5">
        <f t="shared" si="1"/>
        <v>0.14000000000000001</v>
      </c>
      <c r="K5">
        <f t="shared" si="2"/>
        <v>-1.0803193408149565</v>
      </c>
    </row>
    <row r="6" spans="1:11" x14ac:dyDescent="0.2">
      <c r="A6" t="s">
        <v>4</v>
      </c>
      <c r="B6">
        <v>23.29</v>
      </c>
      <c r="C6">
        <v>23.46</v>
      </c>
      <c r="D6">
        <v>23.37</v>
      </c>
      <c r="E6">
        <v>23.32</v>
      </c>
      <c r="F6">
        <v>23.38</v>
      </c>
      <c r="G6">
        <f t="shared" si="0"/>
        <v>23.363999999999997</v>
      </c>
      <c r="H6">
        <f t="shared" si="3"/>
        <v>5</v>
      </c>
      <c r="I6">
        <v>-6.4000000000000057E-2</v>
      </c>
      <c r="J6">
        <f t="shared" si="1"/>
        <v>0.18</v>
      </c>
      <c r="K6">
        <f t="shared" si="2"/>
        <v>-0.91536508784281501</v>
      </c>
    </row>
    <row r="7" spans="1:11" x14ac:dyDescent="0.2">
      <c r="H7">
        <f t="shared" si="3"/>
        <v>6</v>
      </c>
      <c r="I7">
        <v>-5.7999999999999829E-2</v>
      </c>
      <c r="J7">
        <f t="shared" si="1"/>
        <v>0.22</v>
      </c>
      <c r="K7">
        <f t="shared" si="2"/>
        <v>-0.77219321418868503</v>
      </c>
    </row>
    <row r="8" spans="1:11" x14ac:dyDescent="0.2">
      <c r="A8" t="s">
        <v>5</v>
      </c>
      <c r="B8">
        <f>B2-$G$2</f>
        <v>2.0000000000024443E-3</v>
      </c>
      <c r="C8">
        <f t="shared" ref="C8:F8" si="4">C2-$G$2</f>
        <v>2.2000000000002018E-2</v>
      </c>
      <c r="D8">
        <f t="shared" si="4"/>
        <v>0.10200000000000031</v>
      </c>
      <c r="E8">
        <f t="shared" si="4"/>
        <v>-6.799999999999784E-2</v>
      </c>
      <c r="F8">
        <f t="shared" si="4"/>
        <v>-5.7999999999999829E-2</v>
      </c>
      <c r="H8">
        <f t="shared" si="3"/>
        <v>7</v>
      </c>
      <c r="I8">
        <v>-4.399999999999693E-2</v>
      </c>
      <c r="J8">
        <f t="shared" si="1"/>
        <v>0.26</v>
      </c>
      <c r="K8">
        <f t="shared" si="2"/>
        <v>-0.64334540539291696</v>
      </c>
    </row>
    <row r="9" spans="1:11" x14ac:dyDescent="0.2">
      <c r="B9">
        <f>B3-$G$3</f>
        <v>9.800000000000253E-2</v>
      </c>
      <c r="C9">
        <f t="shared" ref="C9:F9" si="5">C3-$G$3</f>
        <v>-3.1999999999996476E-2</v>
      </c>
      <c r="D9">
        <f t="shared" si="5"/>
        <v>-7.1999999999995623E-2</v>
      </c>
      <c r="E9">
        <f t="shared" si="5"/>
        <v>-1.9999999999988916E-3</v>
      </c>
      <c r="F9">
        <f t="shared" si="5"/>
        <v>8.0000000000026716E-3</v>
      </c>
      <c r="H9">
        <f t="shared" si="3"/>
        <v>8</v>
      </c>
      <c r="I9">
        <v>-3.4000000000002473E-2</v>
      </c>
      <c r="J9">
        <f t="shared" si="1"/>
        <v>0.3</v>
      </c>
      <c r="K9">
        <f t="shared" si="2"/>
        <v>-0.52440051270804089</v>
      </c>
    </row>
    <row r="10" spans="1:11" x14ac:dyDescent="0.2">
      <c r="B10">
        <f>B4-$G$4</f>
        <v>-1.3999999999999346E-2</v>
      </c>
      <c r="C10">
        <f t="shared" ref="C10:F10" si="6">C4-$G$4</f>
        <v>0.11599999999999966</v>
      </c>
      <c r="D10">
        <f t="shared" si="6"/>
        <v>-6.4000000000000057E-2</v>
      </c>
      <c r="E10">
        <f t="shared" si="6"/>
        <v>-4.0000000000013358E-3</v>
      </c>
      <c r="F10">
        <f t="shared" si="6"/>
        <v>-3.4000000000002473E-2</v>
      </c>
      <c r="H10">
        <f t="shared" si="3"/>
        <v>9</v>
      </c>
      <c r="I10">
        <v>-3.1999999999996476E-2</v>
      </c>
      <c r="J10">
        <f t="shared" si="1"/>
        <v>0.34</v>
      </c>
      <c r="K10">
        <f t="shared" si="2"/>
        <v>-0.41246312944140484</v>
      </c>
    </row>
    <row r="11" spans="1:11" x14ac:dyDescent="0.2">
      <c r="B11">
        <f>B5-$G$5</f>
        <v>-9.9999999999997868E-2</v>
      </c>
      <c r="C11">
        <f t="shared" ref="C11:F11" si="7">C5-$G$5</f>
        <v>1.9999999999999574E-2</v>
      </c>
      <c r="D11">
        <f t="shared" si="7"/>
        <v>-9.9999999999980105E-3</v>
      </c>
      <c r="E11">
        <f t="shared" si="7"/>
        <v>8.0000000000001847E-2</v>
      </c>
      <c r="F11">
        <f t="shared" si="7"/>
        <v>1.0000000000001563E-2</v>
      </c>
      <c r="H11">
        <f t="shared" si="3"/>
        <v>10</v>
      </c>
      <c r="I11">
        <v>-1.3999999999999346E-2</v>
      </c>
      <c r="J11">
        <f t="shared" si="1"/>
        <v>0.38</v>
      </c>
      <c r="K11">
        <f t="shared" si="2"/>
        <v>-0.30548078809939727</v>
      </c>
    </row>
    <row r="12" spans="1:11" x14ac:dyDescent="0.2">
      <c r="B12">
        <f>B6-$G$6</f>
        <v>-7.3999999999998067E-2</v>
      </c>
      <c r="C12">
        <f t="shared" ref="C12:F12" si="8">C6-$G$6</f>
        <v>9.6000000000003638E-2</v>
      </c>
      <c r="D12">
        <f t="shared" si="8"/>
        <v>6.0000000000037801E-3</v>
      </c>
      <c r="E12">
        <f t="shared" si="8"/>
        <v>-4.399999999999693E-2</v>
      </c>
      <c r="F12">
        <f t="shared" si="8"/>
        <v>1.6000000000001791E-2</v>
      </c>
      <c r="H12">
        <f t="shared" si="3"/>
        <v>11</v>
      </c>
      <c r="I12">
        <v>-9.9999999999980105E-3</v>
      </c>
      <c r="J12">
        <f t="shared" si="1"/>
        <v>0.42</v>
      </c>
      <c r="K12">
        <f t="shared" si="2"/>
        <v>-0.20189347914185088</v>
      </c>
    </row>
    <row r="13" spans="1:11" x14ac:dyDescent="0.2">
      <c r="H13">
        <f t="shared" si="3"/>
        <v>12</v>
      </c>
      <c r="I13">
        <v>-4.0000000000013358E-3</v>
      </c>
      <c r="J13">
        <f t="shared" si="1"/>
        <v>0.46</v>
      </c>
      <c r="K13">
        <f t="shared" si="2"/>
        <v>-0.10043372051146976</v>
      </c>
    </row>
    <row r="14" spans="1:11" x14ac:dyDescent="0.2">
      <c r="H14">
        <f t="shared" si="3"/>
        <v>13</v>
      </c>
      <c r="I14">
        <v>-1.9999999999988916E-3</v>
      </c>
      <c r="J14">
        <f t="shared" si="1"/>
        <v>0.5</v>
      </c>
      <c r="K14">
        <f t="shared" si="2"/>
        <v>0</v>
      </c>
    </row>
    <row r="15" spans="1:11" x14ac:dyDescent="0.2">
      <c r="B15">
        <v>2.0000000000024443E-3</v>
      </c>
      <c r="H15">
        <f t="shared" si="3"/>
        <v>14</v>
      </c>
      <c r="I15">
        <v>2.0000000000024443E-3</v>
      </c>
      <c r="J15">
        <f t="shared" si="1"/>
        <v>0.54</v>
      </c>
      <c r="K15">
        <f t="shared" si="2"/>
        <v>0.10043372051146988</v>
      </c>
    </row>
    <row r="16" spans="1:11" x14ac:dyDescent="0.2">
      <c r="B16">
        <v>2.2000000000002018E-2</v>
      </c>
      <c r="H16">
        <f t="shared" si="3"/>
        <v>15</v>
      </c>
      <c r="I16">
        <v>6.0000000000037801E-3</v>
      </c>
      <c r="J16">
        <f t="shared" si="1"/>
        <v>0.57999999999999996</v>
      </c>
      <c r="K16">
        <f t="shared" si="2"/>
        <v>0.20189347914185077</v>
      </c>
    </row>
    <row r="17" spans="2:11" x14ac:dyDescent="0.2">
      <c r="B17">
        <v>0.10200000000000031</v>
      </c>
      <c r="H17">
        <f t="shared" si="3"/>
        <v>16</v>
      </c>
      <c r="I17">
        <v>8.0000000000026716E-3</v>
      </c>
      <c r="J17">
        <f t="shared" si="1"/>
        <v>0.62</v>
      </c>
      <c r="K17">
        <f t="shared" si="2"/>
        <v>0.30548078809939727</v>
      </c>
    </row>
    <row r="18" spans="2:11" x14ac:dyDescent="0.2">
      <c r="B18">
        <v>-6.799999999999784E-2</v>
      </c>
      <c r="H18">
        <f t="shared" si="3"/>
        <v>17</v>
      </c>
      <c r="I18">
        <v>1.0000000000001563E-2</v>
      </c>
      <c r="J18">
        <f t="shared" si="1"/>
        <v>0.66</v>
      </c>
      <c r="K18">
        <f t="shared" si="2"/>
        <v>0.41246312944140473</v>
      </c>
    </row>
    <row r="19" spans="2:11" x14ac:dyDescent="0.2">
      <c r="B19">
        <v>-5.7999999999999829E-2</v>
      </c>
      <c r="H19">
        <f t="shared" si="3"/>
        <v>18</v>
      </c>
      <c r="I19">
        <v>1.6000000000001791E-2</v>
      </c>
      <c r="J19">
        <f t="shared" si="1"/>
        <v>0.7</v>
      </c>
      <c r="K19">
        <f t="shared" si="2"/>
        <v>0.52440051270804078</v>
      </c>
    </row>
    <row r="20" spans="2:11" x14ac:dyDescent="0.2">
      <c r="B20">
        <v>9.800000000000253E-2</v>
      </c>
      <c r="H20">
        <f t="shared" si="3"/>
        <v>19</v>
      </c>
      <c r="I20">
        <v>1.9999999999999574E-2</v>
      </c>
      <c r="J20">
        <f t="shared" si="1"/>
        <v>0.74</v>
      </c>
      <c r="K20">
        <f t="shared" si="2"/>
        <v>0.64334540539291696</v>
      </c>
    </row>
    <row r="21" spans="2:11" x14ac:dyDescent="0.2">
      <c r="B21">
        <v>-3.1999999999996476E-2</v>
      </c>
      <c r="H21">
        <f t="shared" si="3"/>
        <v>20</v>
      </c>
      <c r="I21">
        <v>2.2000000000002018E-2</v>
      </c>
      <c r="J21">
        <f t="shared" si="1"/>
        <v>0.78</v>
      </c>
      <c r="K21">
        <f t="shared" si="2"/>
        <v>0.77219321418868503</v>
      </c>
    </row>
    <row r="22" spans="2:11" x14ac:dyDescent="0.2">
      <c r="B22">
        <v>-7.1999999999995623E-2</v>
      </c>
      <c r="H22">
        <f t="shared" si="3"/>
        <v>21</v>
      </c>
      <c r="I22">
        <v>8.0000000000001847E-2</v>
      </c>
      <c r="J22">
        <f t="shared" si="1"/>
        <v>0.82</v>
      </c>
      <c r="K22">
        <f t="shared" si="2"/>
        <v>0.91536508784281256</v>
      </c>
    </row>
    <row r="23" spans="2:11" x14ac:dyDescent="0.2">
      <c r="B23">
        <v>-1.9999999999988916E-3</v>
      </c>
      <c r="H23">
        <f t="shared" si="3"/>
        <v>22</v>
      </c>
      <c r="I23">
        <v>9.6000000000003638E-2</v>
      </c>
      <c r="J23">
        <f t="shared" si="1"/>
        <v>0.86</v>
      </c>
      <c r="K23">
        <f t="shared" si="2"/>
        <v>1.0803193408149565</v>
      </c>
    </row>
    <row r="24" spans="2:11" x14ac:dyDescent="0.2">
      <c r="B24">
        <v>8.0000000000026716E-3</v>
      </c>
      <c r="H24">
        <f t="shared" si="3"/>
        <v>23</v>
      </c>
      <c r="I24">
        <v>9.800000000000253E-2</v>
      </c>
      <c r="J24">
        <f t="shared" si="1"/>
        <v>0.9</v>
      </c>
      <c r="K24">
        <f t="shared" si="2"/>
        <v>1.2815515655446006</v>
      </c>
    </row>
    <row r="25" spans="2:11" x14ac:dyDescent="0.2">
      <c r="B25">
        <v>-1.3999999999999346E-2</v>
      </c>
      <c r="H25">
        <f t="shared" si="3"/>
        <v>24</v>
      </c>
      <c r="I25">
        <v>0.10200000000000031</v>
      </c>
      <c r="J25">
        <f t="shared" si="1"/>
        <v>0.94</v>
      </c>
      <c r="K25">
        <f t="shared" si="2"/>
        <v>1.5547735945968528</v>
      </c>
    </row>
    <row r="26" spans="2:11" x14ac:dyDescent="0.2">
      <c r="B26">
        <v>0.11599999999999966</v>
      </c>
      <c r="H26">
        <f t="shared" si="3"/>
        <v>25</v>
      </c>
      <c r="I26">
        <v>0.11599999999999966</v>
      </c>
      <c r="J26">
        <f t="shared" si="1"/>
        <v>0.98</v>
      </c>
      <c r="K26">
        <f t="shared" si="2"/>
        <v>2.0537489106318221</v>
      </c>
    </row>
    <row r="27" spans="2:11" x14ac:dyDescent="0.2">
      <c r="B27">
        <v>-6.4000000000000057E-2</v>
      </c>
    </row>
    <row r="28" spans="2:11" x14ac:dyDescent="0.2">
      <c r="B28">
        <v>-4.0000000000013358E-3</v>
      </c>
    </row>
    <row r="29" spans="2:11" x14ac:dyDescent="0.2">
      <c r="B29">
        <v>-3.4000000000002473E-2</v>
      </c>
    </row>
    <row r="30" spans="2:11" x14ac:dyDescent="0.2">
      <c r="B30">
        <v>-9.9999999999997868E-2</v>
      </c>
    </row>
    <row r="31" spans="2:11" x14ac:dyDescent="0.2">
      <c r="B31">
        <v>1.9999999999999574E-2</v>
      </c>
    </row>
    <row r="32" spans="2:11" x14ac:dyDescent="0.2">
      <c r="B32">
        <v>-9.9999999999980105E-3</v>
      </c>
    </row>
    <row r="33" spans="2:2" x14ac:dyDescent="0.2">
      <c r="B33">
        <v>8.0000000000001847E-2</v>
      </c>
    </row>
    <row r="34" spans="2:2" x14ac:dyDescent="0.2">
      <c r="B34">
        <v>1.0000000000001563E-2</v>
      </c>
    </row>
    <row r="35" spans="2:2" x14ac:dyDescent="0.2">
      <c r="B35">
        <v>-7.3999999999998067E-2</v>
      </c>
    </row>
    <row r="36" spans="2:2" x14ac:dyDescent="0.2">
      <c r="B36">
        <v>9.6000000000003638E-2</v>
      </c>
    </row>
    <row r="37" spans="2:2" x14ac:dyDescent="0.2">
      <c r="B37">
        <v>6.0000000000037801E-3</v>
      </c>
    </row>
    <row r="38" spans="2:2" x14ac:dyDescent="0.2">
      <c r="B38">
        <v>-4.399999999999693E-2</v>
      </c>
    </row>
    <row r="39" spans="2:2" x14ac:dyDescent="0.2">
      <c r="B39">
        <v>1.6000000000001791E-2</v>
      </c>
    </row>
  </sheetData>
  <sortState xmlns:xlrd2="http://schemas.microsoft.com/office/spreadsheetml/2017/richdata2" ref="I2:I26">
    <sortCondition ref="I2:I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SIERRA JAVIER</dc:creator>
  <cp:lastModifiedBy>MAURICIO SIERRA JAVIER</cp:lastModifiedBy>
  <dcterms:created xsi:type="dcterms:W3CDTF">2026-02-21T12:42:03Z</dcterms:created>
  <dcterms:modified xsi:type="dcterms:W3CDTF">2026-02-21T13:27:17Z</dcterms:modified>
</cp:coreProperties>
</file>